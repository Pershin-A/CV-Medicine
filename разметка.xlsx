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risov_aa\Downloads\"/>
    </mc:Choice>
  </mc:AlternateContent>
  <xr:revisionPtr revIDLastSave="0" documentId="13_ncr:1_{8B9AC4AF-0616-43BD-BE6F-C6E8A562E76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Калибровка" sheetId="1" r:id="rId1"/>
  </sheets>
  <definedNames>
    <definedName name="_xlnm._FilterDatabase" localSheetId="0" hidden="1">Калибровка!$B$1:$B$57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Q4" i="1" l="1"/>
  <c r="P3" i="1"/>
  <c r="Q3" i="1"/>
  <c r="O4" i="1"/>
  <c r="O3" i="1"/>
</calcChain>
</file>

<file path=xl/sharedStrings.xml><?xml version="1.0" encoding="utf-8"?>
<sst xmlns="http://schemas.openxmlformats.org/spreadsheetml/2006/main" count="146" uniqueCount="125">
  <si>
    <t>study</t>
  </si>
  <si>
    <t>Позвоночник</t>
  </si>
  <si>
    <t>корректная укладка</t>
  </si>
  <si>
    <t xml:space="preserve">правильно выравнена ось позвоночника (до 5) </t>
  </si>
  <si>
    <t xml:space="preserve">наличие посторонних предметов, выраженных артефактов или наложений </t>
  </si>
  <si>
    <t>№</t>
  </si>
  <si>
    <t>Проксимальный отдел правого бедра</t>
  </si>
  <si>
    <t>позиционирование/ротация</t>
  </si>
  <si>
    <t xml:space="preserve">корректности области интересов </t>
  </si>
  <si>
    <t>Проксимальный отдел левого бедра</t>
  </si>
  <si>
    <t>Итог</t>
  </si>
  <si>
    <t>2.25.306921081709806079165809721263236241032</t>
  </si>
  <si>
    <t>2.25.307021710202910067378603383388989711646</t>
  </si>
  <si>
    <t>2.25.309085571913348252136520206003694446566</t>
  </si>
  <si>
    <t>2.25.314147167453134440746270747484612743945</t>
  </si>
  <si>
    <t>2.25.338439598607961312040815816824093323492</t>
  </si>
  <si>
    <t>2.25.339027809107632348165171236474821772940</t>
  </si>
  <si>
    <t>2.25.340839477910528898406207279980417945</t>
  </si>
  <si>
    <t>2.25.37515662379281069436632838996073181551</t>
  </si>
  <si>
    <t>2.25.39068163399801173920284179500049527111</t>
  </si>
  <si>
    <t>2.25.48906424954135283790354958243772558962</t>
  </si>
  <si>
    <t>2.25.52532476139575422857225834315571570912</t>
  </si>
  <si>
    <t>2.25.52982400970721161435951723390541696819</t>
  </si>
  <si>
    <t>2.25.54396839637320114639948764487283877793</t>
  </si>
  <si>
    <t>2.25.59542620917302828428419211045951914336</t>
  </si>
  <si>
    <t>2.25.65954778282254353457041255543338557112</t>
  </si>
  <si>
    <t>2.25.66397484472966116002950503539482860450</t>
  </si>
  <si>
    <t>2.25.73070100851377917031356937075051545239</t>
  </si>
  <si>
    <t>2.25.76710355977373089612172037086913478687</t>
  </si>
  <si>
    <t>2.25.78999454687125053757525542837745968726</t>
  </si>
  <si>
    <t>2.25.82912555346523716720160717883917565880</t>
  </si>
  <si>
    <t>2.25.87718478011637131470224319788530286374</t>
  </si>
  <si>
    <t xml:space="preserve">Общий </t>
  </si>
  <si>
    <t>2.25.87869906212286587478854831452123526595</t>
  </si>
  <si>
    <t>2.25.91981043841368764114007975581101713077</t>
  </si>
  <si>
    <t>1.2.840.113619.2.110.512719.20250403090444</t>
  </si>
  <si>
    <t>1.2.840.113619.2.110.512719.20250403092052</t>
  </si>
  <si>
    <t>1.2.840.113619.2.110.512719.20250407113211</t>
  </si>
  <si>
    <t>2.25.10245777060263212829333021434108890537</t>
  </si>
  <si>
    <t>2.25.102755089973625799055786462646268820450</t>
  </si>
  <si>
    <t>2.25.108537195937431169718850276671337677972</t>
  </si>
  <si>
    <t>2.25.112621744005021908434051268014787122937</t>
  </si>
  <si>
    <t>сколиоз</t>
  </si>
  <si>
    <t>2.25.114887542067602662452692698814728642117</t>
  </si>
  <si>
    <t>2.25.122446767306607067205618235949445789306</t>
  </si>
  <si>
    <t>2.25.124890633326693921702195356152595253940</t>
  </si>
  <si>
    <t>2.25.125521310320333648427417313254965624364</t>
  </si>
  <si>
    <t>2.25.127126130998341190348103034690069487890</t>
  </si>
  <si>
    <t>2.25.128630285053087246379265602913470285158</t>
  </si>
  <si>
    <t>2.25.132272637351979990811754009849547633391</t>
  </si>
  <si>
    <t>2.25.137675513852774974135210999345676405116</t>
  </si>
  <si>
    <t>2.25.13983650679559142983913935144968795415</t>
  </si>
  <si>
    <t>2.25.145848300160680194368420189079847088556</t>
  </si>
  <si>
    <t>2.25.151186844055172005615813066162721550889</t>
  </si>
  <si>
    <t>2.25.158197739569377798130962967413133224194</t>
  </si>
  <si>
    <t>2.25.164566280810634620154538016595892212884</t>
  </si>
  <si>
    <t>2.25.165091430504580219034019815337441064349</t>
  </si>
  <si>
    <t>2.25.167344201679287285499405412654740659745</t>
  </si>
  <si>
    <t>2.25.173753313169335820519632380691065649420</t>
  </si>
  <si>
    <t>2.25.17706555930735581384953296958427669848</t>
  </si>
  <si>
    <t>2.25.177745077805190810016231350557005569203</t>
  </si>
  <si>
    <t>Хороший пример отклонения оси при КТ п-ка</t>
  </si>
  <si>
    <t>Требует внимание</t>
  </si>
  <si>
    <t xml:space="preserve">Сколиоз, не верня разметка </t>
  </si>
  <si>
    <t>L6, люмбализация</t>
  </si>
  <si>
    <t>Отклонение оси, нет малых вертелов</t>
  </si>
  <si>
    <t xml:space="preserve">Хороший пример ротации </t>
  </si>
  <si>
    <t>перелом</t>
  </si>
  <si>
    <t>2.25.13566237352084812982996047541944701548</t>
  </si>
  <si>
    <t>2.25.215177279960644564778148238928738915103</t>
  </si>
  <si>
    <t>2.25.217397325224876728316360420804118329081</t>
  </si>
  <si>
    <t>2.25.220866240977467582196609708837940253840</t>
  </si>
  <si>
    <t>2.25.234651502352368356456298825489565282446</t>
  </si>
  <si>
    <t>2.25.247714038039430659432048101646401574824</t>
  </si>
  <si>
    <t>2.25.269742577365511543488820993979123763373</t>
  </si>
  <si>
    <t>2.25.272690031744216183651627058502316132741</t>
  </si>
  <si>
    <t>2.25.269648774413746842548908998641183395622</t>
  </si>
  <si>
    <t>2.25.276415754443998872860614500027519740375</t>
  </si>
  <si>
    <t>2.25.277752758923974029595977676354128739670</t>
  </si>
  <si>
    <t>2.25.286999464611662854355201599068538813496</t>
  </si>
  <si>
    <t>2.25.29638026465755240167985424461715024381</t>
  </si>
  <si>
    <t>2.25.322202456901330781765399791024580391565</t>
  </si>
  <si>
    <t>2.25.102965897799404973225419898683246248872</t>
  </si>
  <si>
    <t>2.25.103868781101960771917584077315578649178</t>
  </si>
  <si>
    <t>2.25.105033841136787477881326326053319223817</t>
  </si>
  <si>
    <t>2.25.11175860580562939441493697221497597640</t>
  </si>
  <si>
    <t>правое бедро эндопротезирования</t>
  </si>
  <si>
    <t>2.25.116822802042655971810859435524105064465</t>
  </si>
  <si>
    <t>2.25.123175695355749859846173904788591707879</t>
  </si>
  <si>
    <t>2.25.126293418391331346694592071563510265596</t>
  </si>
  <si>
    <t>2.25.12798473087614376830819854616447908612</t>
  </si>
  <si>
    <t>эндопротезирования ТБС</t>
  </si>
  <si>
    <t>2.25.128197189461989832465575162384360009377</t>
  </si>
  <si>
    <t>2.25.128990540359421489042453547244535073735</t>
  </si>
  <si>
    <t>2.25.129239680100193368599713239115902740628</t>
  </si>
  <si>
    <t>2.25.13069823278093578548407087310307113784</t>
  </si>
  <si>
    <t>2.25.132083163398091874662674590622589534350</t>
  </si>
  <si>
    <t>2.25.13325817932854000792938662637654885530</t>
  </si>
  <si>
    <t>2.25.134456506307367483341018281460841912845</t>
  </si>
  <si>
    <t>2.25.135241889065705954191821710363605596815</t>
  </si>
  <si>
    <t>2.25.137344827330550141320158285144101816664</t>
  </si>
  <si>
    <t>2.25.144941557565802351596730914409170713112</t>
  </si>
  <si>
    <t>Норма</t>
  </si>
  <si>
    <t>Патология</t>
  </si>
  <si>
    <t>2.25.156021661584944120526934974594604520993</t>
  </si>
  <si>
    <t>2.25.156375884487675936513403083218009333856</t>
  </si>
  <si>
    <t>2.25.156389075510671877606923458507011517218</t>
  </si>
  <si>
    <t>2.25.157462338378550185821790046400986801350</t>
  </si>
  <si>
    <t>2.25.158646777318759504110695916200521633609</t>
  </si>
  <si>
    <t>2.25.159930383074323525630608416881201447861</t>
  </si>
  <si>
    <t>2.25.165355673991587715046346525964554729786</t>
  </si>
  <si>
    <t>2.25.16773626720107440979805052259711419763</t>
  </si>
  <si>
    <t>2.25.168317503020329569414190677927680518621</t>
  </si>
  <si>
    <t>2.25.169242707068684757906797344800977707240</t>
  </si>
  <si>
    <t>2.25.172445998420765569384934552191547932566</t>
  </si>
  <si>
    <t>2.25.173731186748227489808861376513577450951</t>
  </si>
  <si>
    <t>2.25.175881661753775295785039265792986971602</t>
  </si>
  <si>
    <t>2.25.175903805423871105435148927871625232853</t>
  </si>
  <si>
    <t>2.25.178533355209696795441380751187185128893</t>
  </si>
  <si>
    <t>2.25.181196659018348153828200695057897449628</t>
  </si>
  <si>
    <t>2.25.184198356665635336833172191504278054074</t>
  </si>
  <si>
    <t>2.25.186201010600484120326273381077449377115</t>
  </si>
  <si>
    <t>2.25.190331309633057244929837507901317950031</t>
  </si>
  <si>
    <t>2.25.190807933410234695931591553323782771995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</si>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</sst>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0.5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00B05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zoomScale="89" zoomScaleNormal="89" workbookViewId="0">
      <pane ySplit="1" topLeftCell="A2" activePane="bottomLeft" state="frozen"/>
      <selection activeCell="E1" sqref="E1"/>
      <selection pane="bottomLeft" activeCell="M3" sqref="M3"/>
    </sheetView>
  </sheetViews>
  <sheetFormatPr defaultRowHeight="14.25"/>
  <cols>
    <col min="2" max="2" width="49.625" style="4" customWidth="1"/>
    <col min="3" max="3" width="13.125" customWidth="1"/>
    <col min="4" max="4" width="15.25" customWidth="1"/>
    <col min="5" max="5" width="16.25" customWidth="1"/>
    <col min="6" max="6" width="16.5" customWidth="1"/>
    <col min="7" max="7" width="17.875" customWidth="1"/>
    <col min="8" max="8" width="17.25" customWidth="1"/>
    <col min="9" max="9" width="17.125" customWidth="1"/>
    <col min="18" max="18" width="9.875" bestFit="1" customWidth="1"/>
  </cols>
  <sheetData>
    <row r="1" spans="1:19">
      <c r="A1" s="8" t="s">
        <v>5</v>
      </c>
      <c r="B1" s="9" t="s">
        <v>0</v>
      </c>
      <c r="C1" s="8" t="s">
        <v>1</v>
      </c>
      <c r="D1" s="8"/>
      <c r="E1" s="8"/>
      <c r="F1" s="8" t="s">
        <v>6</v>
      </c>
      <c r="G1" s="8"/>
      <c r="H1" s="8" t="s">
        <v>9</v>
      </c>
      <c r="I1" s="8"/>
      <c r="J1" s="10" t="s">
        <v>10</v>
      </c>
      <c r="K1" s="10"/>
      <c r="O1" t="s">
        <v>32</v>
      </c>
    </row>
    <row r="2" spans="1:19" ht="81">
      <c r="A2" s="8"/>
      <c r="B2" s="9"/>
      <c r="C2" s="1" t="s">
        <v>2</v>
      </c>
      <c r="D2" s="1" t="s">
        <v>3</v>
      </c>
      <c r="E2" s="2" t="s">
        <v>4</v>
      </c>
      <c r="F2" s="1" t="s">
        <v>7</v>
      </c>
      <c r="G2" s="2" t="s">
        <v>8</v>
      </c>
      <c r="H2" s="1" t="s">
        <v>7</v>
      </c>
      <c r="I2" s="2" t="s">
        <v>8</v>
      </c>
      <c r="J2" s="1" t="s">
        <v>1</v>
      </c>
      <c r="K2" s="1" t="s">
        <v>6</v>
      </c>
      <c r="L2" s="1" t="s">
        <v>9</v>
      </c>
      <c r="M2" s="1" t="s">
        <v>124</v>
      </c>
      <c r="N2" s="3"/>
      <c r="O2" s="1" t="s">
        <v>1</v>
      </c>
      <c r="P2" s="1" t="s">
        <v>6</v>
      </c>
      <c r="Q2" s="1" t="s">
        <v>9</v>
      </c>
    </row>
    <row r="3" spans="1:19">
      <c r="A3">
        <v>1</v>
      </c>
      <c r="B3" s="4" t="s">
        <v>11</v>
      </c>
      <c r="C3">
        <v>0</v>
      </c>
      <c r="D3">
        <v>0</v>
      </c>
      <c r="E3">
        <v>0</v>
      </c>
      <c r="J3">
        <v>0</v>
      </c>
      <c r="N3">
        <v>0</v>
      </c>
      <c r="O3">
        <f>COUNTIF(J3:J79,0)</f>
        <v>50</v>
      </c>
      <c r="P3">
        <f>COUNTIF(K3:K79,0)</f>
        <v>40</v>
      </c>
      <c r="Q3">
        <f t="shared" ref="Q3" si="0">COUNTIF(L3:L79,0)</f>
        <v>37</v>
      </c>
      <c r="R3" t="s">
        <v>102</v>
      </c>
      <c r="S3" s="7">
        <v>50</v>
      </c>
    </row>
    <row r="4" spans="1:19">
      <c r="A4">
        <v>2</v>
      </c>
      <c r="B4" s="4" t="s">
        <v>12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N4">
        <v>1</v>
      </c>
      <c r="O4">
        <f>COUNTIF(J3:J80,1)</f>
        <v>26</v>
      </c>
      <c r="P4">
        <f>COUNTIF(K3:K80,1)</f>
        <v>16</v>
      </c>
      <c r="Q4">
        <f t="shared" ref="Q4" si="1">COUNTIF(L3:L80,1)</f>
        <v>21</v>
      </c>
      <c r="R4" t="s">
        <v>103</v>
      </c>
      <c r="S4" s="6">
        <v>50</v>
      </c>
    </row>
    <row r="5" spans="1:19">
      <c r="A5">
        <v>3</v>
      </c>
      <c r="B5" s="4" t="s">
        <v>13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 spans="1:19">
      <c r="A6">
        <v>4</v>
      </c>
      <c r="B6" s="4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9">
      <c r="A7">
        <v>5</v>
      </c>
      <c r="B7" s="4" t="s">
        <v>15</v>
      </c>
      <c r="C7">
        <v>0</v>
      </c>
      <c r="D7">
        <v>0</v>
      </c>
      <c r="E7">
        <v>1</v>
      </c>
      <c r="J7">
        <v>1</v>
      </c>
      <c r="M7" t="s">
        <v>42</v>
      </c>
    </row>
    <row r="8" spans="1:19">
      <c r="A8">
        <v>6</v>
      </c>
      <c r="B8" s="4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 t="s">
        <v>42</v>
      </c>
    </row>
    <row r="9" spans="1:19">
      <c r="A9">
        <v>7</v>
      </c>
      <c r="B9" s="4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9">
      <c r="A10">
        <v>8</v>
      </c>
      <c r="B10" s="4" t="s">
        <v>18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61</v>
      </c>
    </row>
    <row r="11" spans="1:19">
      <c r="A11">
        <v>9</v>
      </c>
      <c r="B11" s="4" t="s">
        <v>19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</row>
    <row r="12" spans="1:19">
      <c r="A12">
        <v>10</v>
      </c>
      <c r="B12" s="4" t="s">
        <v>20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 t="s">
        <v>62</v>
      </c>
    </row>
    <row r="13" spans="1:19">
      <c r="A13">
        <v>11</v>
      </c>
      <c r="B13" s="4" t="s">
        <v>21</v>
      </c>
      <c r="C13">
        <v>0</v>
      </c>
      <c r="D13">
        <v>0</v>
      </c>
      <c r="E13">
        <v>0</v>
      </c>
      <c r="J13">
        <v>1</v>
      </c>
      <c r="M13" t="s">
        <v>63</v>
      </c>
      <c r="S13" s="6"/>
    </row>
    <row r="14" spans="1:19">
      <c r="A14">
        <v>12</v>
      </c>
      <c r="B14" s="4" t="s">
        <v>22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 t="s">
        <v>64</v>
      </c>
    </row>
    <row r="15" spans="1:19">
      <c r="A15">
        <v>13</v>
      </c>
      <c r="B15" s="4" t="s">
        <v>23</v>
      </c>
      <c r="C15">
        <v>0</v>
      </c>
      <c r="D15">
        <v>0</v>
      </c>
      <c r="E15">
        <v>0</v>
      </c>
      <c r="J15">
        <v>0</v>
      </c>
    </row>
    <row r="16" spans="1:19">
      <c r="A16">
        <v>14</v>
      </c>
      <c r="B16" s="4" t="s">
        <v>24</v>
      </c>
      <c r="C16">
        <v>0</v>
      </c>
      <c r="D16">
        <v>0</v>
      </c>
      <c r="E16">
        <v>1</v>
      </c>
      <c r="J16">
        <v>1</v>
      </c>
    </row>
    <row r="17" spans="1:13">
      <c r="A17">
        <v>15</v>
      </c>
      <c r="B17" s="4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3">
      <c r="A18">
        <v>16</v>
      </c>
      <c r="B18" s="4" t="s">
        <v>26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</row>
    <row r="19" spans="1:13">
      <c r="A19">
        <v>17</v>
      </c>
      <c r="B19" s="4" t="s">
        <v>27</v>
      </c>
      <c r="C19">
        <v>0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 t="s">
        <v>65</v>
      </c>
    </row>
    <row r="20" spans="1:13">
      <c r="A20">
        <v>18</v>
      </c>
      <c r="B20" s="4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3">
      <c r="A21">
        <v>19</v>
      </c>
      <c r="B21" s="4" t="s">
        <v>29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 t="s">
        <v>62</v>
      </c>
    </row>
    <row r="22" spans="1:13">
      <c r="A22">
        <v>20</v>
      </c>
      <c r="B22" s="4" t="s">
        <v>30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 t="s">
        <v>66</v>
      </c>
    </row>
    <row r="23" spans="1:13">
      <c r="A23">
        <v>21</v>
      </c>
      <c r="B23" s="4" t="s">
        <v>31</v>
      </c>
      <c r="C23">
        <v>0</v>
      </c>
      <c r="D23">
        <v>0</v>
      </c>
      <c r="E23">
        <v>0</v>
      </c>
      <c r="J23">
        <v>0</v>
      </c>
    </row>
    <row r="24" spans="1:13">
      <c r="A24">
        <v>22</v>
      </c>
      <c r="B24" s="4" t="s">
        <v>33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</row>
    <row r="25" spans="1:13">
      <c r="A25">
        <v>23</v>
      </c>
      <c r="B25" s="4" t="s">
        <v>34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</row>
    <row r="26" spans="1:13">
      <c r="A26">
        <v>24</v>
      </c>
      <c r="B26" s="4" t="s">
        <v>35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</row>
    <row r="27" spans="1:13">
      <c r="A27">
        <v>25</v>
      </c>
      <c r="B27" s="4" t="s">
        <v>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3">
      <c r="A28">
        <v>26</v>
      </c>
      <c r="B28" s="4" t="s">
        <v>37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</row>
    <row r="29" spans="1:13">
      <c r="A29">
        <v>27</v>
      </c>
      <c r="B29" s="4" t="s">
        <v>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3">
      <c r="A30">
        <v>28</v>
      </c>
      <c r="B30" s="4" t="s">
        <v>39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</row>
    <row r="31" spans="1:13">
      <c r="A31">
        <v>29</v>
      </c>
      <c r="B31" s="4" t="s">
        <v>40</v>
      </c>
      <c r="C31">
        <v>0</v>
      </c>
      <c r="D31">
        <v>0</v>
      </c>
      <c r="E31">
        <v>0</v>
      </c>
      <c r="J31">
        <v>0</v>
      </c>
    </row>
    <row r="32" spans="1:13">
      <c r="A32">
        <v>30</v>
      </c>
      <c r="B32" s="4" t="s">
        <v>41</v>
      </c>
      <c r="C32">
        <v>0</v>
      </c>
      <c r="D32">
        <v>0</v>
      </c>
      <c r="E32">
        <v>0</v>
      </c>
      <c r="J32">
        <v>0</v>
      </c>
      <c r="M32" t="s">
        <v>42</v>
      </c>
    </row>
    <row r="33" spans="1:13">
      <c r="A33">
        <v>31</v>
      </c>
      <c r="B33" s="4" t="s">
        <v>43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</row>
    <row r="34" spans="1:13">
      <c r="A34">
        <v>32</v>
      </c>
      <c r="B34" s="4" t="s">
        <v>44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</row>
    <row r="35" spans="1:13">
      <c r="A35">
        <v>33</v>
      </c>
      <c r="B35" s="4" t="s">
        <v>45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3">
      <c r="A36">
        <v>34</v>
      </c>
      <c r="B36" s="4" t="s">
        <v>46</v>
      </c>
      <c r="C36">
        <v>1</v>
      </c>
      <c r="D36">
        <v>0</v>
      </c>
      <c r="E36">
        <v>0</v>
      </c>
      <c r="J36">
        <v>1</v>
      </c>
    </row>
    <row r="37" spans="1:13">
      <c r="A37">
        <v>35</v>
      </c>
      <c r="B37" s="4" t="s">
        <v>47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1</v>
      </c>
      <c r="M37" t="s">
        <v>67</v>
      </c>
    </row>
    <row r="38" spans="1:13">
      <c r="A38">
        <v>36</v>
      </c>
      <c r="B38" s="5" t="s">
        <v>48</v>
      </c>
      <c r="C38">
        <v>0</v>
      </c>
      <c r="D38">
        <v>0</v>
      </c>
      <c r="E38">
        <v>0</v>
      </c>
      <c r="J38">
        <v>0</v>
      </c>
    </row>
    <row r="39" spans="1:13">
      <c r="A39">
        <v>37</v>
      </c>
      <c r="B39" s="4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3">
      <c r="A40">
        <v>38</v>
      </c>
      <c r="B40" s="4" t="s">
        <v>50</v>
      </c>
      <c r="C40">
        <v>0</v>
      </c>
      <c r="D40">
        <v>0</v>
      </c>
      <c r="E40">
        <v>0</v>
      </c>
      <c r="J40">
        <v>0</v>
      </c>
    </row>
    <row r="41" spans="1:13">
      <c r="A41">
        <v>39</v>
      </c>
      <c r="B41" s="4" t="s">
        <v>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3">
      <c r="A42">
        <v>40</v>
      </c>
      <c r="B42" s="4" t="s">
        <v>52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</row>
    <row r="43" spans="1:13">
      <c r="A43">
        <v>41</v>
      </c>
      <c r="B43" s="4" t="s">
        <v>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3">
      <c r="A44">
        <v>42</v>
      </c>
      <c r="B44" s="4" t="s">
        <v>54</v>
      </c>
      <c r="C44">
        <v>0</v>
      </c>
      <c r="D44">
        <v>0</v>
      </c>
      <c r="E44">
        <v>0</v>
      </c>
      <c r="J44">
        <v>0</v>
      </c>
    </row>
    <row r="45" spans="1:13">
      <c r="A45">
        <v>43</v>
      </c>
      <c r="B45" s="4" t="s">
        <v>55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</row>
    <row r="46" spans="1:13">
      <c r="A46">
        <v>44</v>
      </c>
      <c r="B46" s="4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</row>
    <row r="47" spans="1:13">
      <c r="A47">
        <v>45</v>
      </c>
      <c r="B47" s="4" t="s">
        <v>57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3">
      <c r="A48">
        <v>46</v>
      </c>
      <c r="B48" s="4" t="s">
        <v>58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1</v>
      </c>
      <c r="L48">
        <v>0</v>
      </c>
    </row>
    <row r="49" spans="1:13">
      <c r="A49">
        <v>47</v>
      </c>
      <c r="B49" s="4" t="s">
        <v>59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</row>
    <row r="50" spans="1:13">
      <c r="A50">
        <v>48</v>
      </c>
      <c r="B50" s="4" t="s">
        <v>60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3">
      <c r="A51">
        <v>49</v>
      </c>
      <c r="B51" s="4" t="s">
        <v>68</v>
      </c>
      <c r="C51">
        <v>0</v>
      </c>
      <c r="D51">
        <v>0</v>
      </c>
      <c r="E51">
        <v>0</v>
      </c>
      <c r="J51">
        <v>0</v>
      </c>
    </row>
    <row r="52" spans="1:13">
      <c r="A52">
        <v>50</v>
      </c>
      <c r="B52" s="4" t="s">
        <v>69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</row>
    <row r="53" spans="1:13">
      <c r="A53">
        <v>51</v>
      </c>
      <c r="B53" s="4" t="s">
        <v>70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3">
      <c r="A54">
        <v>52</v>
      </c>
      <c r="B54" s="4" t="s">
        <v>71</v>
      </c>
      <c r="C54">
        <v>0</v>
      </c>
      <c r="D54">
        <v>1</v>
      </c>
      <c r="E54">
        <v>0</v>
      </c>
      <c r="J54">
        <v>1</v>
      </c>
    </row>
    <row r="55" spans="1:13">
      <c r="A55">
        <v>53</v>
      </c>
      <c r="B55" s="4" t="s">
        <v>72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</row>
    <row r="56" spans="1:13">
      <c r="A56">
        <v>54</v>
      </c>
      <c r="B56" s="4" t="s">
        <v>73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</row>
    <row r="57" spans="1:13">
      <c r="A57">
        <v>55</v>
      </c>
      <c r="B57" s="4" t="s">
        <v>76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</row>
    <row r="58" spans="1:13">
      <c r="A58">
        <v>56</v>
      </c>
      <c r="B58" s="4" t="s">
        <v>74</v>
      </c>
      <c r="C58">
        <v>0</v>
      </c>
      <c r="D58">
        <v>0</v>
      </c>
      <c r="E58">
        <v>0</v>
      </c>
      <c r="J58">
        <v>0</v>
      </c>
      <c r="M58" t="s">
        <v>42</v>
      </c>
    </row>
    <row r="59" spans="1:13">
      <c r="A59">
        <v>57</v>
      </c>
      <c r="B59" s="4" t="s">
        <v>75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</row>
    <row r="60" spans="1:13">
      <c r="A60">
        <v>58</v>
      </c>
      <c r="B60" s="4" t="s">
        <v>77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42</v>
      </c>
    </row>
    <row r="61" spans="1:13">
      <c r="A61">
        <v>59</v>
      </c>
      <c r="B61" s="4" t="s">
        <v>78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</row>
    <row r="62" spans="1:13">
      <c r="A62">
        <v>60</v>
      </c>
      <c r="B62" s="4" t="s">
        <v>79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42</v>
      </c>
    </row>
    <row r="63" spans="1:13">
      <c r="A63">
        <v>61</v>
      </c>
      <c r="B63" s="4" t="s">
        <v>80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</row>
    <row r="64" spans="1:13">
      <c r="A64">
        <v>62</v>
      </c>
      <c r="B64" s="4" t="s">
        <v>81</v>
      </c>
      <c r="C64">
        <v>0</v>
      </c>
      <c r="D64">
        <v>0</v>
      </c>
      <c r="E64">
        <v>0</v>
      </c>
      <c r="J64">
        <v>0</v>
      </c>
      <c r="M64" t="s">
        <v>42</v>
      </c>
    </row>
    <row r="65" spans="1:13">
      <c r="A65">
        <v>63</v>
      </c>
      <c r="B65" s="4" t="s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42</v>
      </c>
    </row>
    <row r="66" spans="1:13">
      <c r="A66">
        <v>64</v>
      </c>
      <c r="B66" s="4" t="s">
        <v>83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42</v>
      </c>
    </row>
    <row r="67" spans="1:13">
      <c r="A67">
        <v>65</v>
      </c>
      <c r="B67" s="4" t="s">
        <v>84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42</v>
      </c>
    </row>
    <row r="68" spans="1:13">
      <c r="A68">
        <v>66</v>
      </c>
      <c r="B68" s="4" t="s">
        <v>85</v>
      </c>
      <c r="C68">
        <v>0</v>
      </c>
      <c r="D68">
        <v>0</v>
      </c>
      <c r="E68">
        <v>1</v>
      </c>
      <c r="H68">
        <v>0</v>
      </c>
      <c r="I68">
        <v>0</v>
      </c>
      <c r="J68">
        <v>1</v>
      </c>
      <c r="L68">
        <v>0</v>
      </c>
      <c r="M68" t="s">
        <v>86</v>
      </c>
    </row>
    <row r="69" spans="1:13">
      <c r="A69">
        <v>67</v>
      </c>
      <c r="B69" s="4" t="s">
        <v>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3">
      <c r="A70">
        <v>68</v>
      </c>
      <c r="B70" s="4" t="s">
        <v>88</v>
      </c>
      <c r="C70">
        <v>0</v>
      </c>
      <c r="D70">
        <v>0</v>
      </c>
      <c r="E70">
        <v>0</v>
      </c>
      <c r="J70">
        <v>0</v>
      </c>
    </row>
    <row r="71" spans="1:13">
      <c r="A71">
        <v>69</v>
      </c>
      <c r="B71" s="4" t="s">
        <v>89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</row>
    <row r="72" spans="1:13">
      <c r="A72">
        <v>70</v>
      </c>
      <c r="B72" s="4" t="s">
        <v>90</v>
      </c>
      <c r="C72">
        <v>0</v>
      </c>
      <c r="D72">
        <v>0</v>
      </c>
      <c r="E72">
        <v>0</v>
      </c>
      <c r="J72">
        <v>0</v>
      </c>
      <c r="M72" t="s">
        <v>91</v>
      </c>
    </row>
    <row r="73" spans="1:13">
      <c r="A73">
        <v>71</v>
      </c>
      <c r="B73" s="4" t="s">
        <v>92</v>
      </c>
      <c r="C73">
        <v>0</v>
      </c>
      <c r="D73">
        <v>0</v>
      </c>
      <c r="E73">
        <v>0</v>
      </c>
      <c r="J73">
        <v>0</v>
      </c>
    </row>
    <row r="74" spans="1:13">
      <c r="A74">
        <v>72</v>
      </c>
      <c r="B74" s="4" t="s">
        <v>93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</row>
    <row r="75" spans="1:13">
      <c r="A75">
        <v>73</v>
      </c>
      <c r="B75" s="4" t="s">
        <v>94</v>
      </c>
      <c r="H75">
        <v>1</v>
      </c>
      <c r="I75">
        <v>0</v>
      </c>
      <c r="L75">
        <v>1</v>
      </c>
    </row>
    <row r="76" spans="1:13">
      <c r="A76">
        <v>74</v>
      </c>
      <c r="B76" s="4" t="s">
        <v>95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1</v>
      </c>
    </row>
    <row r="77" spans="1:13">
      <c r="A77">
        <v>75</v>
      </c>
      <c r="B77" s="4" t="s">
        <v>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42</v>
      </c>
    </row>
    <row r="78" spans="1:13">
      <c r="A78">
        <v>76</v>
      </c>
      <c r="B78" s="4" t="s">
        <v>97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</row>
    <row r="79" spans="1:13">
      <c r="A79">
        <v>77</v>
      </c>
      <c r="B79" s="4" t="s">
        <v>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3">
      <c r="A80">
        <v>78</v>
      </c>
      <c r="B80" s="4" t="s">
        <v>99</v>
      </c>
      <c r="C80">
        <v>0</v>
      </c>
      <c r="D80">
        <v>0</v>
      </c>
      <c r="E80">
        <v>0</v>
      </c>
      <c r="H80">
        <v>0</v>
      </c>
      <c r="I80">
        <v>0</v>
      </c>
      <c r="J80">
        <v>0</v>
      </c>
      <c r="L80">
        <v>0</v>
      </c>
    </row>
    <row r="81" spans="1:13">
      <c r="A81">
        <v>79</v>
      </c>
      <c r="B81" s="4" t="s">
        <v>100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3">
      <c r="A82">
        <v>80</v>
      </c>
      <c r="B82" s="4" t="s">
        <v>101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</row>
    <row r="83" spans="1:13">
      <c r="A83">
        <v>81</v>
      </c>
      <c r="B83" s="4" t="s">
        <v>104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3">
      <c r="A84">
        <v>82</v>
      </c>
      <c r="B84" s="4" t="s">
        <v>105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</row>
    <row r="85" spans="1:13">
      <c r="A85">
        <v>83</v>
      </c>
      <c r="B85" s="4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3">
      <c r="A86">
        <v>84</v>
      </c>
      <c r="B86" s="4" t="s">
        <v>107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1</v>
      </c>
      <c r="L86">
        <v>1</v>
      </c>
    </row>
    <row r="87" spans="1:13">
      <c r="A87">
        <v>85</v>
      </c>
      <c r="B87" s="4" t="s">
        <v>108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</row>
    <row r="88" spans="1:13">
      <c r="A88">
        <v>86</v>
      </c>
      <c r="B88" s="4" t="s">
        <v>109</v>
      </c>
      <c r="C88">
        <v>0</v>
      </c>
      <c r="D88">
        <v>0</v>
      </c>
      <c r="E88">
        <v>0</v>
      </c>
      <c r="J88">
        <v>0</v>
      </c>
    </row>
    <row r="89" spans="1:13">
      <c r="A89">
        <v>87</v>
      </c>
      <c r="B89" s="4" t="s">
        <v>110</v>
      </c>
      <c r="C89">
        <v>0</v>
      </c>
      <c r="D89">
        <v>0</v>
      </c>
      <c r="E89">
        <v>1</v>
      </c>
      <c r="H89">
        <v>0</v>
      </c>
      <c r="I89">
        <v>0</v>
      </c>
      <c r="J89">
        <v>1</v>
      </c>
      <c r="L89">
        <v>0</v>
      </c>
    </row>
    <row r="90" spans="1:13">
      <c r="A90">
        <v>88</v>
      </c>
      <c r="B90" s="4" t="s">
        <v>111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3">
      <c r="A91">
        <v>89</v>
      </c>
      <c r="B91" s="4" t="s">
        <v>112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3">
      <c r="A92">
        <v>90</v>
      </c>
      <c r="B92" s="4" t="s">
        <v>113</v>
      </c>
      <c r="C92">
        <v>0</v>
      </c>
      <c r="D92">
        <v>0</v>
      </c>
      <c r="E92">
        <v>0</v>
      </c>
      <c r="J92">
        <v>0</v>
      </c>
    </row>
    <row r="93" spans="1:13">
      <c r="A93">
        <v>91</v>
      </c>
      <c r="B93" s="4" t="s">
        <v>114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</row>
    <row r="94" spans="1:13">
      <c r="A94">
        <v>92</v>
      </c>
      <c r="B94" s="4" t="s">
        <v>115</v>
      </c>
      <c r="C94">
        <v>0</v>
      </c>
      <c r="D94">
        <v>0</v>
      </c>
      <c r="E94">
        <v>0</v>
      </c>
      <c r="H94">
        <v>0</v>
      </c>
      <c r="I94">
        <v>0</v>
      </c>
      <c r="J94">
        <v>0</v>
      </c>
      <c r="L94">
        <v>0</v>
      </c>
    </row>
    <row r="95" spans="1:13">
      <c r="A95">
        <v>93</v>
      </c>
      <c r="B95" s="4" t="s">
        <v>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42</v>
      </c>
    </row>
    <row r="96" spans="1:13">
      <c r="A96">
        <v>94</v>
      </c>
      <c r="B96" s="4" t="s">
        <v>117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3">
      <c r="A97">
        <v>95</v>
      </c>
      <c r="B97" s="4" t="s">
        <v>118</v>
      </c>
      <c r="C97">
        <v>0</v>
      </c>
      <c r="D97">
        <v>0</v>
      </c>
      <c r="E97">
        <v>0</v>
      </c>
      <c r="J97">
        <v>0</v>
      </c>
      <c r="M97" t="s">
        <v>42</v>
      </c>
    </row>
    <row r="98" spans="1:13">
      <c r="A98">
        <v>96</v>
      </c>
      <c r="B98" s="4" t="s">
        <v>119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3">
      <c r="A99">
        <v>97</v>
      </c>
      <c r="B99" s="4" t="s">
        <v>120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3">
      <c r="A100">
        <v>98</v>
      </c>
      <c r="B100" s="4" t="s">
        <v>121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3">
      <c r="A101">
        <v>99</v>
      </c>
      <c r="B101" s="4" t="s">
        <v>122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0</v>
      </c>
    </row>
    <row r="102" spans="1:13">
      <c r="A102">
        <v>100</v>
      </c>
      <c r="B102" s="4" t="s">
        <v>123</v>
      </c>
      <c r="C102">
        <v>0</v>
      </c>
      <c r="D102">
        <v>0</v>
      </c>
      <c r="E102">
        <v>1</v>
      </c>
      <c r="H102">
        <v>0</v>
      </c>
      <c r="I102">
        <v>0</v>
      </c>
      <c r="J102">
        <v>1</v>
      </c>
      <c r="L102">
        <v>0</v>
      </c>
    </row>
  </sheetData>
  <mergeCells count="6">
    <mergeCell ref="A1:A2"/>
    <mergeCell ref="B1:B2"/>
    <mergeCell ref="J1:K1"/>
    <mergeCell ref="C1:E1"/>
    <mergeCell ref="F1:G1"/>
    <mergeCell ref="H1:I1"/>
  </mergeCells>
  <conditionalFormatting sqref="J1:L1048576 M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Калибровка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Art</dc:creator>
  <cp:lastModifiedBy>Борисов Александр Александрович</cp:lastModifiedBy>
  <dcterms:created xsi:type="dcterms:W3CDTF">2026-08-11T12:23:49Z</dcterms:created>
  <dcterms:modified xsi:type="dcterms:W3CDTF">2026-08-26T12:14:48Z</dcterms:modified>
</cp:coreProperties>
</file>